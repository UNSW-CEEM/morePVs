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0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ikeroberts/Documents/python/morePVs/DATA_EN_MR1/studies/latest24-9/outputs/pt_mike3/"/>
    </mc:Choice>
  </mc:AlternateContent>
  <xr:revisionPtr revIDLastSave="0" documentId="13_ncr:40009_{B31BBA3D-9251-C143-A070-5584BB1ADEA3}" xr6:coauthVersionLast="45" xr6:coauthVersionMax="45" xr10:uidLastSave="{00000000-0000-0000-0000-000000000000}"/>
  <bookViews>
    <workbookView xWindow="11060" yWindow="21540" windowWidth="53160" windowHeight="16340"/>
  </bookViews>
  <sheets>
    <sheet name="pt_mike3_results" sheetId="1" r:id="rId1"/>
  </sheets>
  <calcPr calcId="0"/>
</workbook>
</file>

<file path=xl/calcChain.xml><?xml version="1.0" encoding="utf-8"?>
<calcChain xmlns="http://schemas.openxmlformats.org/spreadsheetml/2006/main">
  <c r="J14" i="1" l="1"/>
  <c r="K14" i="1"/>
  <c r="J15" i="1"/>
  <c r="K15" i="1"/>
  <c r="J16" i="1"/>
  <c r="K16" i="1"/>
  <c r="J17" i="1"/>
  <c r="K17" i="1"/>
  <c r="J18" i="1"/>
  <c r="K18" i="1"/>
  <c r="J19" i="1"/>
  <c r="K19" i="1"/>
  <c r="K13" i="1"/>
  <c r="J13" i="1"/>
</calcChain>
</file>

<file path=xl/sharedStrings.xml><?xml version="1.0" encoding="utf-8"?>
<sst xmlns="http://schemas.openxmlformats.org/spreadsheetml/2006/main" count="85" uniqueCount="58">
  <si>
    <t>scenario</t>
  </si>
  <si>
    <t>scenario_label</t>
  </si>
  <si>
    <t>arrangement</t>
  </si>
  <si>
    <t>number_of_households</t>
  </si>
  <si>
    <t>load_folder</t>
  </si>
  <si>
    <t>en_opex</t>
  </si>
  <si>
    <t>en_capex_repayment</t>
  </si>
  <si>
    <t>pv_capex_repayment</t>
  </si>
  <si>
    <t>average_hh_bill$</t>
  </si>
  <si>
    <t>average_hh_solar_bill$</t>
  </si>
  <si>
    <t>average_hh_total$</t>
  </si>
  <si>
    <t>central_battery_SOH</t>
  </si>
  <si>
    <t>central_battery_capacity_kWh</t>
  </si>
  <si>
    <t>central_battery_cycles</t>
  </si>
  <si>
    <t>checksum_total_payments$</t>
  </si>
  <si>
    <t>cp_ratio</t>
  </si>
  <si>
    <t>cust_bill_cp</t>
  </si>
  <si>
    <t>cust_solar_bill_cp</t>
  </si>
  <si>
    <t>cust_total$_cp</t>
  </si>
  <si>
    <t>eno$_bat_capex_repay</t>
  </si>
  <si>
    <t>eno$_demand_charge</t>
  </si>
  <si>
    <t>eno$_energy_bill</t>
  </si>
  <si>
    <t>eno$_npv_building</t>
  </si>
  <si>
    <t>eno$_receipts_from_residents</t>
  </si>
  <si>
    <t>eno$_total_payment</t>
  </si>
  <si>
    <t>eno_net$</t>
  </si>
  <si>
    <t>export_kWh</t>
  </si>
  <si>
    <t>import_kWh</t>
  </si>
  <si>
    <t>pv_ratio</t>
  </si>
  <si>
    <t>retailer_bill$</t>
  </si>
  <si>
    <t>retailer_receipt$</t>
  </si>
  <si>
    <t>self-consumption</t>
  </si>
  <si>
    <t>self-consumption_OLD</t>
  </si>
  <si>
    <t>self-sufficiency</t>
  </si>
  <si>
    <t>self-sufficiency_OLD</t>
  </si>
  <si>
    <t>solar_retailer_profit</t>
  </si>
  <si>
    <t>total$_building_costs</t>
  </si>
  <si>
    <t>total_battery_losses</t>
  </si>
  <si>
    <t>total_building_load</t>
  </si>
  <si>
    <t>pt_mike3_000</t>
  </si>
  <si>
    <t>bau</t>
  </si>
  <si>
    <t>W_new</t>
  </si>
  <si>
    <t>pt_mike3_001</t>
  </si>
  <si>
    <t>en_pv</t>
  </si>
  <si>
    <t>pt_mike3_002</t>
  </si>
  <si>
    <t>pt_mike3_004</t>
  </si>
  <si>
    <t>pt_mike3_009</t>
  </si>
  <si>
    <t>pt_mike3_010</t>
  </si>
  <si>
    <t>pt_mike3_012</t>
  </si>
  <si>
    <t>Bill savings</t>
  </si>
  <si>
    <t xml:space="preserve">ENO profit </t>
  </si>
  <si>
    <t>DMO_TOU</t>
  </si>
  <si>
    <t>EN_PT_D</t>
  </si>
  <si>
    <t>EN_PT_N</t>
  </si>
  <si>
    <t>EN_PT_Z</t>
  </si>
  <si>
    <t>EN_PTBP_D</t>
  </si>
  <si>
    <t>EN_PTBP_N1</t>
  </si>
  <si>
    <t>EN_PTBP_Z1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</si>
</sst>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1" fontId="0" fillId="0" borderId="0" xfId="0" applyNumberFormat="1"/>
    <xf numFmtId="0" fontId="0" fillId="33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F19"/>
  <sheetViews>
    <sheetView tabSelected="1" workbookViewId="0">
      <selection activeCell="I18" sqref="I18:I19"/>
    </sheetView>
  </sheetViews>
  <sheetFormatPr baseColWidth="10" defaultRowHeight="16" x14ac:dyDescent="0.2"/>
  <sheetData>
    <row r="1" spans="1:3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</row>
    <row r="2" spans="1:39" x14ac:dyDescent="0.2">
      <c r="A2">
        <v>0</v>
      </c>
      <c r="B2" t="s">
        <v>39</v>
      </c>
      <c r="C2" t="s">
        <v>40</v>
      </c>
      <c r="D2">
        <v>72</v>
      </c>
      <c r="E2" t="s">
        <v>41</v>
      </c>
      <c r="F2">
        <v>0</v>
      </c>
      <c r="G2">
        <v>0</v>
      </c>
      <c r="H2">
        <v>0</v>
      </c>
      <c r="I2">
        <v>1368.7064075186699</v>
      </c>
      <c r="J2">
        <v>0</v>
      </c>
      <c r="K2">
        <v>1368.7064075186699</v>
      </c>
      <c r="L2">
        <v>0</v>
      </c>
      <c r="M2">
        <v>0</v>
      </c>
      <c r="N2">
        <v>0</v>
      </c>
      <c r="O2">
        <v>0</v>
      </c>
      <c r="P2">
        <v>21.5438555644389</v>
      </c>
      <c r="Q2">
        <v>19936.9405136524</v>
      </c>
      <c r="R2">
        <v>0</v>
      </c>
      <c r="S2">
        <v>19936.9405136524</v>
      </c>
      <c r="T2">
        <v>0</v>
      </c>
      <c r="U2">
        <v>0</v>
      </c>
      <c r="V2">
        <v>0</v>
      </c>
      <c r="W2">
        <v>-1375188.91628893</v>
      </c>
      <c r="X2">
        <v>0</v>
      </c>
      <c r="Y2">
        <v>0</v>
      </c>
      <c r="Z2">
        <v>0</v>
      </c>
      <c r="AA2">
        <v>1.981268512</v>
      </c>
      <c r="AB2">
        <v>408793.88630702102</v>
      </c>
      <c r="AC2">
        <v>0</v>
      </c>
      <c r="AD2">
        <v>38480.532828077899</v>
      </c>
      <c r="AE2">
        <v>118483.801854997</v>
      </c>
      <c r="AF2">
        <v>100</v>
      </c>
      <c r="AG2">
        <v>100</v>
      </c>
      <c r="AH2">
        <v>0</v>
      </c>
      <c r="AI2">
        <v>0</v>
      </c>
      <c r="AJ2">
        <v>0</v>
      </c>
      <c r="AK2">
        <v>118483.801854997</v>
      </c>
      <c r="AL2">
        <v>0</v>
      </c>
      <c r="AM2">
        <v>408791.90503850899</v>
      </c>
    </row>
    <row r="3" spans="1:39" x14ac:dyDescent="0.2">
      <c r="A3">
        <v>1</v>
      </c>
      <c r="B3" t="s">
        <v>42</v>
      </c>
      <c r="C3" t="s">
        <v>43</v>
      </c>
      <c r="D3">
        <v>72</v>
      </c>
      <c r="E3" t="s">
        <v>41</v>
      </c>
      <c r="F3">
        <v>18000</v>
      </c>
      <c r="G3">
        <v>4195.4202784481704</v>
      </c>
      <c r="H3">
        <v>12418.6159676606</v>
      </c>
      <c r="I3">
        <v>1561.89255093526</v>
      </c>
      <c r="J3">
        <v>0</v>
      </c>
      <c r="K3">
        <v>1561.89255093526</v>
      </c>
      <c r="L3">
        <v>0</v>
      </c>
      <c r="M3">
        <v>0</v>
      </c>
      <c r="N3">
        <v>0</v>
      </c>
      <c r="O3" s="1">
        <v>-1.86264514923095E-11</v>
      </c>
      <c r="P3">
        <v>21.5438555644389</v>
      </c>
      <c r="Q3">
        <v>19936.9405136524</v>
      </c>
      <c r="R3">
        <v>0</v>
      </c>
      <c r="S3">
        <v>19936.9405136524</v>
      </c>
      <c r="T3">
        <v>0</v>
      </c>
      <c r="U3">
        <v>19821.479546847899</v>
      </c>
      <c r="V3">
        <v>68795.590505423403</v>
      </c>
      <c r="W3">
        <v>-1200229.6543481799</v>
      </c>
      <c r="X3">
        <v>132393.20418099099</v>
      </c>
      <c r="Y3">
        <v>103409.62675153201</v>
      </c>
      <c r="Z3">
        <v>28983.577429459001</v>
      </c>
      <c r="AA3">
        <v>7088.5690473539998</v>
      </c>
      <c r="AB3">
        <v>313399.149799195</v>
      </c>
      <c r="AC3">
        <v>25.069313512216802</v>
      </c>
      <c r="AD3">
        <v>35632.698031950902</v>
      </c>
      <c r="AE3">
        <v>68795.590505423403</v>
      </c>
      <c r="AF3">
        <v>93.083062600239899</v>
      </c>
      <c r="AG3">
        <v>93.083062600239799</v>
      </c>
      <c r="AH3">
        <v>23.335284790027199</v>
      </c>
      <c r="AI3">
        <v>23.335284790027298</v>
      </c>
      <c r="AJ3">
        <v>0</v>
      </c>
      <c r="AK3">
        <v>103409.62675153201</v>
      </c>
      <c r="AL3">
        <v>0</v>
      </c>
      <c r="AM3">
        <v>408791.90503850899</v>
      </c>
    </row>
    <row r="4" spans="1:39" x14ac:dyDescent="0.2">
      <c r="A4">
        <v>2</v>
      </c>
      <c r="B4" t="s">
        <v>44</v>
      </c>
      <c r="C4" t="s">
        <v>43</v>
      </c>
      <c r="D4">
        <v>72</v>
      </c>
      <c r="E4" t="s">
        <v>41</v>
      </c>
      <c r="F4">
        <v>18000</v>
      </c>
      <c r="G4">
        <v>4195.4202784481704</v>
      </c>
      <c r="H4">
        <v>12418.6159676606</v>
      </c>
      <c r="I4">
        <v>1368.70640697458</v>
      </c>
      <c r="J4">
        <v>0</v>
      </c>
      <c r="K4">
        <v>1368.70640697458</v>
      </c>
      <c r="L4">
        <v>0</v>
      </c>
      <c r="M4">
        <v>0</v>
      </c>
      <c r="N4">
        <v>0</v>
      </c>
      <c r="O4" s="1">
        <v>1.86264514923095E-11</v>
      </c>
      <c r="P4">
        <v>21.5438555644389</v>
      </c>
      <c r="Q4">
        <v>19936.9405136524</v>
      </c>
      <c r="R4">
        <v>0</v>
      </c>
      <c r="S4">
        <v>19936.9405136524</v>
      </c>
      <c r="T4">
        <v>0</v>
      </c>
      <c r="U4">
        <v>19821.479546847899</v>
      </c>
      <c r="V4">
        <v>68795.590505423403</v>
      </c>
      <c r="W4">
        <v>-1200229.6543481799</v>
      </c>
      <c r="X4">
        <v>118483.80181582199</v>
      </c>
      <c r="Y4">
        <v>103409.62675153201</v>
      </c>
      <c r="Z4">
        <v>15074.175064290201</v>
      </c>
      <c r="AA4">
        <v>7088.5690473539998</v>
      </c>
      <c r="AB4">
        <v>313399.149799195</v>
      </c>
      <c r="AC4">
        <v>25.069313512216802</v>
      </c>
      <c r="AD4">
        <v>35632.698031950902</v>
      </c>
      <c r="AE4">
        <v>68795.590505423403</v>
      </c>
      <c r="AF4">
        <v>93.083062600239899</v>
      </c>
      <c r="AG4">
        <v>93.083062600239799</v>
      </c>
      <c r="AH4">
        <v>23.335284790027199</v>
      </c>
      <c r="AI4">
        <v>23.335284790027298</v>
      </c>
      <c r="AJ4">
        <v>0</v>
      </c>
      <c r="AK4">
        <v>103409.62675153201</v>
      </c>
      <c r="AL4">
        <v>0</v>
      </c>
      <c r="AM4">
        <v>408791.90503850899</v>
      </c>
    </row>
    <row r="5" spans="1:39" x14ac:dyDescent="0.2">
      <c r="A5">
        <v>4</v>
      </c>
      <c r="B5" t="s">
        <v>45</v>
      </c>
      <c r="C5" t="s">
        <v>43</v>
      </c>
      <c r="D5">
        <v>72</v>
      </c>
      <c r="E5" t="s">
        <v>41</v>
      </c>
      <c r="F5">
        <v>18000</v>
      </c>
      <c r="G5">
        <v>4195.4202784481704</v>
      </c>
      <c r="H5">
        <v>12418.6159676606</v>
      </c>
      <c r="I5">
        <v>1159.3428644758901</v>
      </c>
      <c r="J5">
        <v>0</v>
      </c>
      <c r="K5">
        <v>1159.3428644758901</v>
      </c>
      <c r="L5">
        <v>0</v>
      </c>
      <c r="M5">
        <v>0</v>
      </c>
      <c r="N5">
        <v>0</v>
      </c>
      <c r="O5" s="1">
        <v>-1.86264514923095E-11</v>
      </c>
      <c r="P5">
        <v>21.5438555644389</v>
      </c>
      <c r="Q5">
        <v>19936.9405136524</v>
      </c>
      <c r="R5">
        <v>0</v>
      </c>
      <c r="S5">
        <v>19936.9405136524</v>
      </c>
      <c r="T5">
        <v>0</v>
      </c>
      <c r="U5">
        <v>19821.479546847899</v>
      </c>
      <c r="V5">
        <v>68795.590505423403</v>
      </c>
      <c r="W5">
        <v>-1200229.6543481799</v>
      </c>
      <c r="X5">
        <v>103409.626755916</v>
      </c>
      <c r="Y5">
        <v>103409.62675153201</v>
      </c>
      <c r="Z5" s="1">
        <v>4.3844990432262401E-6</v>
      </c>
      <c r="AA5">
        <v>7088.5690473539998</v>
      </c>
      <c r="AB5">
        <v>313399.149799195</v>
      </c>
      <c r="AC5">
        <v>25.069313512216802</v>
      </c>
      <c r="AD5">
        <v>35632.698031950902</v>
      </c>
      <c r="AE5">
        <v>68795.590505423403</v>
      </c>
      <c r="AF5">
        <v>93.083062600239899</v>
      </c>
      <c r="AG5">
        <v>93.083062600239799</v>
      </c>
      <c r="AH5">
        <v>23.335284790027199</v>
      </c>
      <c r="AI5">
        <v>23.335284790027298</v>
      </c>
      <c r="AJ5">
        <v>0</v>
      </c>
      <c r="AK5">
        <v>103409.62675153201</v>
      </c>
      <c r="AL5">
        <v>0</v>
      </c>
      <c r="AM5">
        <v>408791.90503850899</v>
      </c>
    </row>
    <row r="6" spans="1:39" x14ac:dyDescent="0.2">
      <c r="A6">
        <v>9</v>
      </c>
      <c r="B6" t="s">
        <v>46</v>
      </c>
      <c r="C6" t="s">
        <v>43</v>
      </c>
      <c r="D6">
        <v>72</v>
      </c>
      <c r="E6" t="s">
        <v>41</v>
      </c>
      <c r="F6">
        <v>18000</v>
      </c>
      <c r="G6">
        <v>4195.4202784481704</v>
      </c>
      <c r="H6">
        <v>12418.6159676606</v>
      </c>
      <c r="I6">
        <v>964.18581611467596</v>
      </c>
      <c r="J6">
        <v>0</v>
      </c>
      <c r="K6">
        <v>964.18581611467596</v>
      </c>
      <c r="L6">
        <v>0</v>
      </c>
      <c r="M6">
        <v>0</v>
      </c>
      <c r="N6">
        <v>0</v>
      </c>
      <c r="O6" s="1">
        <v>-1.86264514923095E-11</v>
      </c>
      <c r="P6">
        <v>21.5438555644389</v>
      </c>
      <c r="Q6">
        <v>19936.9405136524</v>
      </c>
      <c r="R6">
        <v>0</v>
      </c>
      <c r="S6">
        <v>19936.9405136524</v>
      </c>
      <c r="T6">
        <v>0</v>
      </c>
      <c r="U6">
        <v>19821.479546847899</v>
      </c>
      <c r="V6">
        <v>68795.590505423403</v>
      </c>
      <c r="W6">
        <v>-1200229.6543481799</v>
      </c>
      <c r="X6">
        <v>89358.319273909103</v>
      </c>
      <c r="Y6">
        <v>103409.62675153201</v>
      </c>
      <c r="Z6">
        <v>-14051.307477623001</v>
      </c>
      <c r="AA6">
        <v>7088.5690473539998</v>
      </c>
      <c r="AB6">
        <v>313399.149799195</v>
      </c>
      <c r="AC6">
        <v>25.069313512216802</v>
      </c>
      <c r="AD6">
        <v>35632.698031950902</v>
      </c>
      <c r="AE6">
        <v>68795.590505423403</v>
      </c>
      <c r="AF6">
        <v>93.083062600239899</v>
      </c>
      <c r="AG6">
        <v>93.083062600239799</v>
      </c>
      <c r="AH6">
        <v>23.335284790027199</v>
      </c>
      <c r="AI6">
        <v>23.335284790027298</v>
      </c>
      <c r="AJ6">
        <v>0</v>
      </c>
      <c r="AK6">
        <v>103409.62675153201</v>
      </c>
      <c r="AL6">
        <v>0</v>
      </c>
      <c r="AM6">
        <v>408791.90503850899</v>
      </c>
    </row>
    <row r="7" spans="1:39" x14ac:dyDescent="0.2">
      <c r="A7">
        <v>10</v>
      </c>
      <c r="B7" t="s">
        <v>47</v>
      </c>
      <c r="C7" t="s">
        <v>43</v>
      </c>
      <c r="D7">
        <v>72</v>
      </c>
      <c r="E7" t="s">
        <v>41</v>
      </c>
      <c r="F7">
        <v>18000</v>
      </c>
      <c r="G7">
        <v>4195.4202784481704</v>
      </c>
      <c r="H7">
        <v>12418.6159676606</v>
      </c>
      <c r="I7">
        <v>1368.50705631803</v>
      </c>
      <c r="J7">
        <v>0</v>
      </c>
      <c r="K7">
        <v>1368.50705631803</v>
      </c>
      <c r="L7">
        <v>0</v>
      </c>
      <c r="M7">
        <v>0</v>
      </c>
      <c r="N7">
        <v>0</v>
      </c>
      <c r="O7" s="1">
        <v>1.86264514923095E-11</v>
      </c>
      <c r="P7">
        <v>21.5438555644389</v>
      </c>
      <c r="Q7">
        <v>19936.9405136524</v>
      </c>
      <c r="R7">
        <v>0</v>
      </c>
      <c r="S7">
        <v>19936.9405136524</v>
      </c>
      <c r="T7">
        <v>0</v>
      </c>
      <c r="U7">
        <v>19821.479546847899</v>
      </c>
      <c r="V7">
        <v>68795.590505423403</v>
      </c>
      <c r="W7">
        <v>-1200229.6543481799</v>
      </c>
      <c r="X7">
        <v>118469.448568551</v>
      </c>
      <c r="Y7">
        <v>103409.62675153201</v>
      </c>
      <c r="Z7">
        <v>15059.821817018999</v>
      </c>
      <c r="AA7">
        <v>7088.5690473539998</v>
      </c>
      <c r="AB7">
        <v>313399.149799195</v>
      </c>
      <c r="AC7">
        <v>25.069313512216802</v>
      </c>
      <c r="AD7">
        <v>35632.698031950902</v>
      </c>
      <c r="AE7">
        <v>68795.590505423403</v>
      </c>
      <c r="AF7">
        <v>93.083062600239899</v>
      </c>
      <c r="AG7">
        <v>93.083062600239799</v>
      </c>
      <c r="AH7">
        <v>23.335284790027199</v>
      </c>
      <c r="AI7">
        <v>23.335284790027298</v>
      </c>
      <c r="AJ7">
        <v>0</v>
      </c>
      <c r="AK7">
        <v>103409.62675153201</v>
      </c>
      <c r="AL7">
        <v>0</v>
      </c>
      <c r="AM7">
        <v>408791.90503850899</v>
      </c>
    </row>
    <row r="8" spans="1:39" x14ac:dyDescent="0.2">
      <c r="A8">
        <v>12</v>
      </c>
      <c r="B8" t="s">
        <v>48</v>
      </c>
      <c r="C8" t="s">
        <v>43</v>
      </c>
      <c r="D8">
        <v>72</v>
      </c>
      <c r="E8" t="s">
        <v>41</v>
      </c>
      <c r="F8">
        <v>18000</v>
      </c>
      <c r="G8">
        <v>4195.4202784481704</v>
      </c>
      <c r="H8">
        <v>12418.6159676606</v>
      </c>
      <c r="I8">
        <v>1159.28250846427</v>
      </c>
      <c r="J8">
        <v>0</v>
      </c>
      <c r="K8">
        <v>1159.28250846427</v>
      </c>
      <c r="L8">
        <v>0</v>
      </c>
      <c r="M8">
        <v>0</v>
      </c>
      <c r="N8">
        <v>0</v>
      </c>
      <c r="O8" s="1">
        <v>-1.86264514923095E-11</v>
      </c>
      <c r="P8">
        <v>21.5438555644389</v>
      </c>
      <c r="Q8">
        <v>19936.9405136524</v>
      </c>
      <c r="R8">
        <v>0</v>
      </c>
      <c r="S8">
        <v>19936.9405136524</v>
      </c>
      <c r="T8">
        <v>0</v>
      </c>
      <c r="U8">
        <v>19821.479546847899</v>
      </c>
      <c r="V8">
        <v>68795.590505423403</v>
      </c>
      <c r="W8">
        <v>-1200229.6543481799</v>
      </c>
      <c r="X8">
        <v>103405.28112308</v>
      </c>
      <c r="Y8">
        <v>103409.62675153201</v>
      </c>
      <c r="Z8">
        <v>-4.3456284521706401</v>
      </c>
      <c r="AA8">
        <v>7088.5690473539998</v>
      </c>
      <c r="AB8">
        <v>313399.149799195</v>
      </c>
      <c r="AC8">
        <v>25.069313512216802</v>
      </c>
      <c r="AD8">
        <v>35632.698031950902</v>
      </c>
      <c r="AE8">
        <v>68795.590505423403</v>
      </c>
      <c r="AF8">
        <v>93.083062600239899</v>
      </c>
      <c r="AG8">
        <v>93.083062600239799</v>
      </c>
      <c r="AH8">
        <v>23.335284790027199</v>
      </c>
      <c r="AI8">
        <v>23.335284790027298</v>
      </c>
      <c r="AJ8">
        <v>0</v>
      </c>
      <c r="AK8">
        <v>103409.62675153201</v>
      </c>
      <c r="AL8">
        <v>0</v>
      </c>
      <c r="AM8">
        <v>408791.90503850899</v>
      </c>
    </row>
    <row r="12" spans="1:39" x14ac:dyDescent="0.2">
      <c r="J12" t="s">
        <v>49</v>
      </c>
      <c r="K12" t="s">
        <v>50</v>
      </c>
    </row>
    <row r="13" spans="1:39" x14ac:dyDescent="0.2">
      <c r="H13" t="s">
        <v>51</v>
      </c>
      <c r="J13">
        <f>$I$2-I2</f>
        <v>0</v>
      </c>
      <c r="K13">
        <f>Z2/72</f>
        <v>0</v>
      </c>
    </row>
    <row r="14" spans="1:39" x14ac:dyDescent="0.2">
      <c r="H14" t="s">
        <v>52</v>
      </c>
      <c r="J14">
        <f>$I$2-I3</f>
        <v>-193.18614341659008</v>
      </c>
      <c r="K14">
        <f>Z3/72</f>
        <v>402.54968652026389</v>
      </c>
    </row>
    <row r="15" spans="1:39" x14ac:dyDescent="0.2">
      <c r="H15" t="s">
        <v>53</v>
      </c>
      <c r="J15">
        <f>$I$2-I4</f>
        <v>5.4408997129939962E-7</v>
      </c>
      <c r="K15">
        <f>Z4/72</f>
        <v>209.36354255958611</v>
      </c>
    </row>
    <row r="16" spans="1:39" x14ac:dyDescent="0.2">
      <c r="H16" t="s">
        <v>54</v>
      </c>
      <c r="J16">
        <f>$I$2-I5</f>
        <v>209.36354304277984</v>
      </c>
      <c r="K16">
        <f>Z5/72</f>
        <v>6.089582004480889E-8</v>
      </c>
    </row>
    <row r="17" spans="8:58" x14ac:dyDescent="0.2">
      <c r="H17" t="s">
        <v>55</v>
      </c>
      <c r="J17">
        <f>$I$2-I6</f>
        <v>404.52059140399399</v>
      </c>
      <c r="K17">
        <f>Z6/72</f>
        <v>-195.15704830031945</v>
      </c>
    </row>
    <row r="18" spans="8:58" x14ac:dyDescent="0.2">
      <c r="H18" t="s">
        <v>56</v>
      </c>
      <c r="I18">
        <v>102.7</v>
      </c>
      <c r="J18" s="2">
        <f>$I$2-I7</f>
        <v>0.19935120063996692</v>
      </c>
      <c r="K18">
        <f>Z7/72</f>
        <v>209.16419190304165</v>
      </c>
      <c r="Q18" t="s">
        <v>56</v>
      </c>
      <c r="R18">
        <v>102.8</v>
      </c>
      <c r="S18" s="2">
        <v>-0.4424418909400174</v>
      </c>
      <c r="T18">
        <v>209.80598499461667</v>
      </c>
      <c r="W18" t="s">
        <v>56</v>
      </c>
      <c r="X18">
        <v>103</v>
      </c>
      <c r="Y18" s="2">
        <v>-1.7260280740899816</v>
      </c>
      <c r="Z18">
        <v>211.08957117776944</v>
      </c>
      <c r="AC18" t="s">
        <v>56</v>
      </c>
      <c r="AD18">
        <v>103.6</v>
      </c>
      <c r="AE18" s="2">
        <v>-5.576786623550106</v>
      </c>
      <c r="AF18">
        <v>214.94032972722641</v>
      </c>
      <c r="AI18" t="s">
        <v>56</v>
      </c>
      <c r="AJ18">
        <v>103.47</v>
      </c>
      <c r="AK18" s="2">
        <v>-4.7424524813300195</v>
      </c>
      <c r="AL18">
        <v>214.10599861111112</v>
      </c>
      <c r="AN18" t="s">
        <v>56</v>
      </c>
      <c r="AO18">
        <v>103.45</v>
      </c>
      <c r="AP18" s="2">
        <v>-4.6140969861801295</v>
      </c>
      <c r="AQ18">
        <v>213.97764008986113</v>
      </c>
      <c r="AS18" t="s">
        <v>56</v>
      </c>
      <c r="AT18">
        <v>103.5</v>
      </c>
      <c r="AU18" s="2">
        <v>4.6919028416698438</v>
      </c>
      <c r="AV18">
        <v>204.67164026200973</v>
      </c>
      <c r="AY18" t="s">
        <v>56</v>
      </c>
      <c r="AZ18">
        <v>-4.9349935319701217</v>
      </c>
      <c r="BA18">
        <v>214.29853663564862</v>
      </c>
      <c r="BD18" t="s">
        <v>56</v>
      </c>
      <c r="BE18">
        <v>-8.1439589898500344</v>
      </c>
      <c r="BF18">
        <v>217.50750209352915</v>
      </c>
    </row>
    <row r="19" spans="8:58" x14ac:dyDescent="0.2">
      <c r="H19" t="s">
        <v>57</v>
      </c>
      <c r="I19">
        <v>70.099999999999994</v>
      </c>
      <c r="J19">
        <f>$I$2-I8</f>
        <v>209.42389905439995</v>
      </c>
      <c r="K19" s="2">
        <f>Z8/72</f>
        <v>-6.0355950724592225E-2</v>
      </c>
      <c r="L19" s="2"/>
      <c r="M19" s="2"/>
      <c r="N19" s="2"/>
      <c r="O19" s="2"/>
      <c r="P19" s="2"/>
      <c r="Q19" t="s">
        <v>57</v>
      </c>
      <c r="R19">
        <v>70.099999999999994</v>
      </c>
      <c r="S19">
        <v>209.42389905439995</v>
      </c>
      <c r="T19" s="2">
        <v>-6.0355950724592225E-2</v>
      </c>
      <c r="U19" s="2"/>
      <c r="W19" t="s">
        <v>57</v>
      </c>
      <c r="X19">
        <v>70</v>
      </c>
      <c r="Y19">
        <v>210.06569214597994</v>
      </c>
      <c r="Z19" s="2">
        <v>-0.70214904230087916</v>
      </c>
      <c r="AC19" t="s">
        <v>57</v>
      </c>
      <c r="AD19">
        <v>70.400000000000006</v>
      </c>
      <c r="AE19">
        <v>207.49851977967</v>
      </c>
      <c r="AF19" s="2">
        <v>1.8650233240027083</v>
      </c>
      <c r="AI19" t="s">
        <v>57</v>
      </c>
      <c r="AJ19">
        <v>70.5</v>
      </c>
      <c r="AK19">
        <v>206.85672751866991</v>
      </c>
      <c r="AL19" s="2">
        <v>2.5068164166666667</v>
      </c>
      <c r="AN19" t="s">
        <v>57</v>
      </c>
      <c r="AO19">
        <v>70.900000000000006</v>
      </c>
      <c r="AP19">
        <v>204.28955432178986</v>
      </c>
      <c r="AQ19" s="2">
        <v>5.073988781882333</v>
      </c>
      <c r="AS19" t="s">
        <v>57</v>
      </c>
      <c r="AT19">
        <v>70</v>
      </c>
      <c r="AU19">
        <v>216.48362306173999</v>
      </c>
      <c r="AV19" s="2">
        <v>-7.1200799580606526</v>
      </c>
      <c r="AY19" t="s">
        <v>57</v>
      </c>
      <c r="AZ19">
        <v>216.48362306173999</v>
      </c>
      <c r="BA19">
        <v>-7.1200799580606526</v>
      </c>
      <c r="BD19" t="s">
        <v>57</v>
      </c>
      <c r="BE19">
        <v>210.06569214597994</v>
      </c>
      <c r="BF19">
        <v>-0.70214904230087916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pt_mike3_results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Roberts</dc:creator>
  <cp:lastModifiedBy>Mike Roberts</cp:lastModifiedBy>
  <dcterms:created xsi:type="dcterms:W3CDTF">2020-11-09T07:13:06Z</dcterms:created>
  <dcterms:modified xsi:type="dcterms:W3CDTF">2020-11-09T08:15:02Z</dcterms:modified>
</cp:coreProperties>
</file>